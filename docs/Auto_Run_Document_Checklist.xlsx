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datory (Gate)" sheetId="1" state="visible" r:id="rId1"/>
    <sheet xmlns:r="http://schemas.openxmlformats.org/officeDocument/2006/relationships" name="If Co-Applicant" sheetId="2" state="visible" r:id="rId2"/>
    <sheet xmlns:r="http://schemas.openxmlformats.org/officeDocument/2006/relationships" name="Level-Specific (Pass · Scor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7F6000"/>
      <sz val="10"/>
    </font>
    <font>
      <name val="Arial"/>
      <b val="1"/>
      <color rgb="00FFFFFF"/>
      <sz val="11"/>
    </font>
    <font>
      <name val="Arial"/>
      <sz val="10"/>
    </font>
    <font>
      <name val="Consolas"/>
      <b val="1"/>
      <color rgb="00C00000"/>
      <sz val="10"/>
    </font>
    <font>
      <name val="Consolas"/>
      <i val="1"/>
      <color rgb="007F600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 indent="2"/>
    </xf>
    <xf numFmtId="0" fontId="4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2" customWidth="1" min="3" max="3"/>
    <col width="16" customWidth="1" min="4" max="4"/>
    <col width="22" customWidth="1" min="5" max="5"/>
    <col width="22" customWidth="1" min="6" max="6"/>
    <col width="12" customWidth="1" min="7" max="7"/>
    <col width="12" customWidth="1" min="8" max="8"/>
    <col width="36" customWidth="1" min="9" max="9"/>
  </cols>
  <sheetData>
    <row r="1" ht="40" customHeight="1">
      <c r="A1" s="1" t="inlineStr">
        <is>
          <t>MANDATORY pre-auto-run documents — the auto-run completeness gate (POST /cases/:id/missing-required-artifacts) blocks the run (or forces a skip-and-log entry in IncompleteAutorunLog) if any of these are missing.</t>
        </is>
      </c>
    </row>
    <row r="2" ht="32" customHeight="1">
      <c r="A2" s="2" t="inlineStr">
        <is>
          <t>#</t>
        </is>
      </c>
      <c r="B2" s="2" t="inlineStr">
        <is>
          <t>Document Name</t>
        </is>
      </c>
      <c r="C2" s="2" t="inlineStr">
        <is>
          <t>Software Code (Artifact Subtype)</t>
        </is>
      </c>
      <c r="D2" s="2" t="inlineStr">
        <is>
          <t>Format</t>
        </is>
      </c>
      <c r="E2" s="2" t="inlineStr">
        <is>
          <t>Provided By</t>
        </is>
      </c>
      <c r="F2" s="2" t="inlineStr">
        <is>
          <t>Used By Level(s)</t>
        </is>
      </c>
      <c r="G2" s="2" t="inlineStr">
        <is>
          <t>Available</t>
        </is>
      </c>
      <c r="H2" s="2" t="inlineStr">
        <is>
          <t>Uploaded</t>
        </is>
      </c>
      <c r="I2" s="2" t="inlineStr">
        <is>
          <t>Remarks</t>
        </is>
      </c>
    </row>
    <row r="3" ht="24" customHeight="1">
      <c r="A3" s="3" t="n">
        <v>1</v>
      </c>
      <c r="B3" s="4" t="inlineStr">
        <is>
          <t>Applicant Aadhaar</t>
        </is>
      </c>
      <c r="C3" s="5" t="inlineStr">
        <is>
          <t>KYC_AADHAAR</t>
        </is>
      </c>
      <c r="D3" s="3" t="inlineStr">
        <is>
          <t>PDF / Image</t>
        </is>
      </c>
      <c r="E3" s="3" t="inlineStr">
        <is>
          <t>Applicant</t>
        </is>
      </c>
      <c r="F3" s="3" t="inlineStr">
        <is>
          <t>L1</t>
        </is>
      </c>
      <c r="G3" s="3" t="inlineStr"/>
      <c r="H3" s="3" t="inlineStr"/>
      <c r="I3" s="4" t="inlineStr">
        <is>
          <t>Identity &amp; address (applicant)</t>
        </is>
      </c>
    </row>
    <row r="4" ht="24" customHeight="1">
      <c r="A4" s="3" t="n">
        <v>2</v>
      </c>
      <c r="B4" s="4" t="inlineStr">
        <is>
          <t>Applicant PAN</t>
        </is>
      </c>
      <c r="C4" s="5" t="inlineStr">
        <is>
          <t>KYC_PAN</t>
        </is>
      </c>
      <c r="D4" s="3" t="inlineStr">
        <is>
          <t>PDF / Image</t>
        </is>
      </c>
      <c r="E4" s="3" t="inlineStr">
        <is>
          <t>Applicant</t>
        </is>
      </c>
      <c r="F4" s="3" t="inlineStr">
        <is>
          <t>L1, L1.5</t>
        </is>
      </c>
      <c r="G4" s="3" t="inlineStr"/>
      <c r="H4" s="3" t="inlineStr"/>
      <c r="I4" s="4" t="inlineStr">
        <is>
          <t>PAN match against bureau</t>
        </is>
      </c>
    </row>
    <row r="5" ht="24" customHeight="1">
      <c r="A5" s="3" t="n">
        <v>3</v>
      </c>
      <c r="B5" s="4" t="inlineStr">
        <is>
          <t>AutoCAM sheet</t>
        </is>
      </c>
      <c r="C5" s="5" t="inlineStr">
        <is>
          <t>AUTO_CAM</t>
        </is>
      </c>
      <c r="D5" s="3" t="inlineStr">
        <is>
          <t>XLSX</t>
        </is>
      </c>
      <c r="E5" s="3" t="inlineStr">
        <is>
          <t>Credit Manager (BCM)</t>
        </is>
      </c>
      <c r="F5" s="3" t="inlineStr">
        <is>
          <t>L1.5, L2, L4, L5</t>
        </is>
      </c>
      <c r="G5" s="3" t="inlineStr"/>
      <c r="H5" s="3" t="inlineStr"/>
      <c r="I5" s="4" t="inlineStr">
        <is>
          <t>Multi-sheet: SystemCam (auth.) + CM CAM IL + Eligibility + Health</t>
        </is>
      </c>
    </row>
    <row r="6" ht="24" customHeight="1">
      <c r="A6" s="3" t="n">
        <v>4</v>
      </c>
      <c r="B6" s="4" t="inlineStr">
        <is>
          <t>PD sheet (personal-discussion notes)</t>
        </is>
      </c>
      <c r="C6" s="5" t="inlineStr">
        <is>
          <t>PD_SHEET</t>
        </is>
      </c>
      <c r="D6" s="3" t="inlineStr">
        <is>
          <t>XLSX</t>
        </is>
      </c>
      <c r="E6" s="3" t="inlineStr">
        <is>
          <t>Underwriter</t>
        </is>
      </c>
      <c r="F6" s="3" t="inlineStr">
        <is>
          <t>L5 (#29–32)</t>
        </is>
      </c>
      <c r="G6" s="3" t="inlineStr"/>
      <c r="H6" s="3" t="inlineStr"/>
      <c r="I6" s="4" t="inlineStr">
        <is>
          <t>Underwriter narrative for Section D scoring</t>
        </is>
      </c>
    </row>
    <row r="7" ht="24" customHeight="1">
      <c r="A7" s="3" t="n">
        <v>5</v>
      </c>
      <c r="B7" s="4" t="inlineStr">
        <is>
          <t>Bank statement</t>
        </is>
      </c>
      <c r="C7" s="5" t="inlineStr">
        <is>
          <t>BANK_STATEMENT</t>
        </is>
      </c>
      <c r="D7" s="3" t="inlineStr">
        <is>
          <t>PDF / TXT</t>
        </is>
      </c>
      <c r="E7" s="3" t="inlineStr">
        <is>
          <t>Applicant</t>
        </is>
      </c>
      <c r="F7" s="3" t="inlineStr">
        <is>
          <t>L1, L2, L5, L5.5</t>
        </is>
      </c>
      <c r="G7" s="3" t="inlineStr"/>
      <c r="H7" s="3" t="inlineStr"/>
      <c r="I7" s="4" t="inlineStr">
        <is>
          <t>≥6 months; used for FOIR, NACH bounces, PDC IFSC match</t>
        </is>
      </c>
    </row>
    <row r="8" ht="24" customHeight="1">
      <c r="A8" s="3" t="n">
        <v>6</v>
      </c>
      <c r="B8" s="4" t="inlineStr">
        <is>
          <t>Bureau report (Equifax / CIBIL)</t>
        </is>
      </c>
      <c r="C8" s="5" t="inlineStr">
        <is>
          <t>EQUIFAX_HTML</t>
        </is>
      </c>
      <c r="D8" s="3" t="inlineStr">
        <is>
          <t>HTML</t>
        </is>
      </c>
      <c r="E8" s="3" t="inlineStr">
        <is>
          <t>External (bureau)</t>
        </is>
      </c>
      <c r="F8" s="3" t="inlineStr">
        <is>
          <t>L1, L1.5, L5</t>
        </is>
      </c>
      <c r="G8" s="3" t="inlineStr"/>
      <c r="H8" s="3" t="inlineStr"/>
      <c r="I8" s="4" t="inlineStr">
        <is>
          <t>CIBIL ≥750 check + DPD/write-off scan</t>
        </is>
      </c>
    </row>
    <row r="9" ht="24" customHeight="1">
      <c r="A9" s="3" t="n">
        <v>7</v>
      </c>
      <c r="B9" s="4" t="inlineStr">
        <is>
          <t>House-visit photo</t>
        </is>
      </c>
      <c r="C9" s="5" t="inlineStr">
        <is>
          <t>HOUSE_VISIT_PHOTO</t>
        </is>
      </c>
      <c r="D9" s="3" t="inlineStr">
        <is>
          <t>JPG / PNG</t>
        </is>
      </c>
      <c r="E9" s="3" t="inlineStr">
        <is>
          <t>Field Officer</t>
        </is>
      </c>
      <c r="F9" s="3" t="inlineStr">
        <is>
          <t>L1 (GPS), L3</t>
        </is>
      </c>
      <c r="G9" s="3" t="inlineStr"/>
      <c r="H9" s="3" t="inlineStr"/>
      <c r="I9" s="4" t="inlineStr">
        <is>
          <t>Must contain GPS EXIF for geo-verification</t>
        </is>
      </c>
    </row>
    <row r="10" ht="24" customHeight="1">
      <c r="A10" s="3" t="n">
        <v>8</v>
      </c>
      <c r="B10" s="4" t="inlineStr">
        <is>
          <t>Business-premises photo</t>
        </is>
      </c>
      <c r="C10" s="5" t="inlineStr">
        <is>
          <t>BUSINESS_PREMISES_PHOTO</t>
        </is>
      </c>
      <c r="D10" s="3" t="inlineStr">
        <is>
          <t>JPG / PNG</t>
        </is>
      </c>
      <c r="E10" s="3" t="inlineStr">
        <is>
          <t>Field Officer</t>
        </is>
      </c>
      <c r="F10" s="3" t="inlineStr">
        <is>
          <t>L1 (GPS), L3</t>
        </is>
      </c>
      <c r="G10" s="3" t="inlineStr"/>
      <c r="H10" s="3" t="inlineStr"/>
      <c r="I10" s="4" t="inlineStr">
        <is>
          <t>GPS EXIF + commute-distance check</t>
        </is>
      </c>
    </row>
    <row r="11" ht="24" customHeight="1">
      <c r="A11" s="3" t="n">
        <v>9</v>
      </c>
      <c r="B11" s="4" t="inlineStr">
        <is>
          <t>Loan Agreement</t>
        </is>
      </c>
      <c r="C11" s="5" t="inlineStr">
        <is>
          <t>LAGR</t>
        </is>
      </c>
      <c r="D11" s="3" t="inlineStr">
        <is>
          <t>PDF</t>
        </is>
      </c>
      <c r="E11" s="3" t="inlineStr">
        <is>
          <t>Legal</t>
        </is>
      </c>
      <c r="F11" s="3" t="inlineStr">
        <is>
          <t>L1, L4</t>
        </is>
      </c>
      <c r="G11" s="3" t="inlineStr"/>
      <c r="H11" s="3" t="inlineStr"/>
      <c r="I11" s="4" t="inlineStr">
        <is>
          <t>Signed; vision call confirms signature &amp; parties</t>
        </is>
      </c>
    </row>
    <row r="12" ht="24" customHeight="1">
      <c r="A12" s="3" t="n">
        <v>10</v>
      </c>
      <c r="B12" s="4" t="inlineStr">
        <is>
          <t>Loan Application Form</t>
        </is>
      </c>
      <c r="C12" s="5" t="inlineStr">
        <is>
          <t>LAPP</t>
        </is>
      </c>
      <c r="D12" s="3" t="inlineStr">
        <is>
          <t>PDF</t>
        </is>
      </c>
      <c r="E12" s="3" t="inlineStr">
        <is>
          <t>Applicant</t>
        </is>
      </c>
      <c r="F12" s="3" t="inlineStr">
        <is>
          <t>L4</t>
        </is>
      </c>
      <c r="G12" s="3" t="inlineStr"/>
      <c r="H12" s="3" t="inlineStr"/>
      <c r="I12" s="4" t="inlineStr">
        <is>
          <t>Required by gate (alongside LAGR &amp; DPN)</t>
        </is>
      </c>
    </row>
    <row r="13" ht="24" customHeight="1">
      <c r="A13" s="3" t="n">
        <v>11</v>
      </c>
      <c r="B13" s="4" t="inlineStr">
        <is>
          <t>Demand Promissory Note</t>
        </is>
      </c>
      <c r="C13" s="5" t="inlineStr">
        <is>
          <t>DPN</t>
        </is>
      </c>
      <c r="D13" s="3" t="inlineStr">
        <is>
          <t>PDF</t>
        </is>
      </c>
      <c r="E13" s="3" t="inlineStr">
        <is>
          <t>Applicant</t>
        </is>
      </c>
      <c r="F13" s="3" t="inlineStr">
        <is>
          <t>L4</t>
        </is>
      </c>
      <c r="G13" s="3" t="inlineStr"/>
      <c r="H13" s="3" t="inlineStr"/>
      <c r="I13" s="4" t="inlineStr">
        <is>
          <t>Required by gate (alongside LAGR &amp; LAPP)</t>
        </is>
      </c>
    </row>
    <row r="14" ht="24" customHeight="1">
      <c r="A14" s="3" t="n">
        <v>12</v>
      </c>
      <c r="B14" s="4" t="inlineStr">
        <is>
          <t>NACH mandate</t>
        </is>
      </c>
      <c r="C14" s="5" t="inlineStr">
        <is>
          <t>NACH</t>
        </is>
      </c>
      <c r="D14" s="3" t="inlineStr">
        <is>
          <t>PDF / Screenshot</t>
        </is>
      </c>
      <c r="E14" s="3" t="inlineStr">
        <is>
          <t>Applicant</t>
        </is>
      </c>
      <c r="F14" s="3" t="inlineStr">
        <is>
          <t>L5.5</t>
        </is>
      </c>
      <c r="G14" s="3" t="inlineStr"/>
      <c r="H14" s="3" t="inlineStr"/>
      <c r="I14" s="4" t="inlineStr">
        <is>
          <t>EMI auto-debit e-mandate</t>
        </is>
      </c>
    </row>
    <row r="15" ht="24" customHeight="1">
      <c r="A15" s="6" t="n">
        <v>13</v>
      </c>
      <c r="B15" s="7" t="inlineStr">
        <is>
          <t>Address proof — ONE OF the two below</t>
        </is>
      </c>
      <c r="C15" s="8" t="inlineStr">
        <is>
          <t>ADDRESS_PROOF (slot)</t>
        </is>
      </c>
      <c r="D15" s="6" t="inlineStr">
        <is>
          <t>—</t>
        </is>
      </c>
      <c r="E15" s="6" t="inlineStr">
        <is>
          <t>Applicant</t>
        </is>
      </c>
      <c r="F15" s="6" t="inlineStr">
        <is>
          <t>L1</t>
        </is>
      </c>
      <c r="G15" s="6" t="inlineStr"/>
      <c r="H15" s="6" t="inlineStr"/>
      <c r="I15" s="7" t="inlineStr">
        <is>
          <t>Synthetic gate slot — satisfied by EITHER option below</t>
        </is>
      </c>
    </row>
    <row r="16" ht="24" customHeight="1">
      <c r="A16" s="6" t="inlineStr">
        <is>
          <t>13a</t>
        </is>
      </c>
      <c r="B16" s="9" t="inlineStr">
        <is>
          <t>• Ration card</t>
        </is>
      </c>
      <c r="C16" s="10" t="inlineStr">
        <is>
          <t>RATION_CARD</t>
        </is>
      </c>
      <c r="D16" s="6" t="inlineStr">
        <is>
          <t>PDF / Image</t>
        </is>
      </c>
      <c r="E16" s="6" t="inlineStr">
        <is>
          <t>Applicant</t>
        </is>
      </c>
      <c r="F16" s="6" t="inlineStr">
        <is>
          <t>L1</t>
        </is>
      </c>
      <c r="G16" s="6" t="inlineStr"/>
      <c r="H16" s="6" t="inlineStr"/>
      <c r="I16" s="7" t="inlineStr">
        <is>
          <t>Either this OR Electricity bill</t>
        </is>
      </c>
    </row>
    <row r="17" ht="24" customHeight="1">
      <c r="A17" s="6" t="inlineStr">
        <is>
          <t>13b</t>
        </is>
      </c>
      <c r="B17" s="9" t="inlineStr">
        <is>
          <t>• Electricity bill</t>
        </is>
      </c>
      <c r="C17" s="10" t="inlineStr">
        <is>
          <t>ELECTRICITY_BILL</t>
        </is>
      </c>
      <c r="D17" s="6" t="inlineStr">
        <is>
          <t>PDF / Image</t>
        </is>
      </c>
      <c r="E17" s="6" t="inlineStr">
        <is>
          <t>Applicant</t>
        </is>
      </c>
      <c r="F17" s="6" t="inlineStr">
        <is>
          <t>L1</t>
        </is>
      </c>
      <c r="G17" s="6" t="inlineStr"/>
      <c r="H17" s="6" t="inlineStr"/>
      <c r="I17" s="7" t="inlineStr">
        <is>
          <t>Either this OR Ration card</t>
        </is>
      </c>
    </row>
    <row r="19">
      <c r="B19" s="11" t="inlineStr">
        <is>
          <t>TOTALS — ticked vs total rows</t>
        </is>
      </c>
      <c r="G19" s="12">
        <f>COUNTIF(G3:G17,"✓")&amp;" / "&amp;(17-3+1)</f>
        <v/>
      </c>
      <c r="H19" s="12">
        <f>COUNTIF(H3:H17,"✓")&amp;" / "&amp;(17-3+1)</f>
        <v/>
      </c>
    </row>
  </sheetData>
  <mergeCells count="1">
    <mergeCell ref="A1:I1"/>
  </mergeCells>
  <dataValidations count="1">
    <dataValidation sqref="G3 G4 G5 G6 G7 G8 G9 G10 G11 G12 G13 G14 G15 G16 G17 H3 H4 H5 H6 H7 H8 H9 H10 H11 H12 H13 H14 H15 H16 H17" showDropDown="0" showInputMessage="0" showErrorMessage="0" allowBlank="1" errorTitle="Invalid entry" error="Tick or leave blank" type="list">
      <formula1>"✓"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2" customWidth="1" min="3" max="3"/>
    <col width="16" customWidth="1" min="4" max="4"/>
    <col width="22" customWidth="1" min="5" max="5"/>
    <col width="22" customWidth="1" min="6" max="6"/>
    <col width="12" customWidth="1" min="7" max="7"/>
    <col width="12" customWidth="1" min="8" max="8"/>
    <col width="36" customWidth="1" min="9" max="9"/>
  </cols>
  <sheetData>
    <row r="1" ht="40" customHeight="1">
      <c r="A1" s="1" t="inlineStr">
        <is>
          <t>REQUIRED ONLY when the case has a co-applicant on record (case.co_applicant_name is set). Skip this sheet for applicant-only files.</t>
        </is>
      </c>
    </row>
    <row r="2" ht="32" customHeight="1">
      <c r="A2" s="2" t="inlineStr">
        <is>
          <t>#</t>
        </is>
      </c>
      <c r="B2" s="2" t="inlineStr">
        <is>
          <t>Document Name</t>
        </is>
      </c>
      <c r="C2" s="2" t="inlineStr">
        <is>
          <t>Software Code (Artifact Subtype)</t>
        </is>
      </c>
      <c r="D2" s="2" t="inlineStr">
        <is>
          <t>Format</t>
        </is>
      </c>
      <c r="E2" s="2" t="inlineStr">
        <is>
          <t>Provided By</t>
        </is>
      </c>
      <c r="F2" s="2" t="inlineStr">
        <is>
          <t>Used By Level(s)</t>
        </is>
      </c>
      <c r="G2" s="2" t="inlineStr">
        <is>
          <t>Available</t>
        </is>
      </c>
      <c r="H2" s="2" t="inlineStr">
        <is>
          <t>Uploaded</t>
        </is>
      </c>
      <c r="I2" s="2" t="inlineStr">
        <is>
          <t>Remarks</t>
        </is>
      </c>
    </row>
    <row r="3" ht="24" customHeight="1">
      <c r="A3" s="3" t="n">
        <v>1</v>
      </c>
      <c r="B3" s="4" t="inlineStr">
        <is>
          <t>Co-applicant Aadhaar</t>
        </is>
      </c>
      <c r="C3" s="5" t="inlineStr">
        <is>
          <t>CO_APPLICANT_AADHAAR</t>
        </is>
      </c>
      <c r="D3" s="3" t="inlineStr">
        <is>
          <t>PDF / Image</t>
        </is>
      </c>
      <c r="E3" s="3" t="inlineStr">
        <is>
          <t>Co-applicant</t>
        </is>
      </c>
      <c r="F3" s="3" t="inlineStr">
        <is>
          <t>L1, L1.5</t>
        </is>
      </c>
      <c r="G3" s="3" t="inlineStr"/>
      <c r="H3" s="3" t="inlineStr"/>
      <c r="I3" s="4" t="inlineStr">
        <is>
          <t>Co-applicant identity &amp; address</t>
        </is>
      </c>
    </row>
    <row r="4" ht="24" customHeight="1">
      <c r="A4" s="3" t="n">
        <v>2</v>
      </c>
      <c r="B4" s="4" t="inlineStr">
        <is>
          <t>Co-applicant PAN</t>
        </is>
      </c>
      <c r="C4" s="5" t="inlineStr">
        <is>
          <t>CO_APPLICANT_PAN</t>
        </is>
      </c>
      <c r="D4" s="3" t="inlineStr">
        <is>
          <t>PDF / Image</t>
        </is>
      </c>
      <c r="E4" s="3" t="inlineStr">
        <is>
          <t>Co-applicant</t>
        </is>
      </c>
      <c r="F4" s="3" t="inlineStr">
        <is>
          <t>L1, L1.5</t>
        </is>
      </c>
      <c r="G4" s="3" t="inlineStr"/>
      <c r="H4" s="3" t="inlineStr"/>
      <c r="I4" s="4" t="inlineStr">
        <is>
          <t>Co-applicant PAN-bureau match</t>
        </is>
      </c>
    </row>
    <row r="6">
      <c r="B6" s="11" t="inlineStr">
        <is>
          <t>TOTALS — ticked vs total rows</t>
        </is>
      </c>
      <c r="G6" s="12">
        <f>COUNTIF(G3:G4,"✓")&amp;" / "&amp;(4-3+1)</f>
        <v/>
      </c>
      <c r="H6" s="12">
        <f>COUNTIF(H3:H4,"✓")&amp;" / "&amp;(4-3+1)</f>
        <v/>
      </c>
    </row>
  </sheetData>
  <mergeCells count="1">
    <mergeCell ref="A1:I1"/>
  </mergeCells>
  <dataValidations count="1">
    <dataValidation sqref="G3 G4 H3 H4" showDropDown="0" showInputMessage="0" showErrorMessage="0" allowBlank="1" errorTitle="Invalid entry" error="Tick or leave blank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2" customWidth="1" min="3" max="3"/>
    <col width="16" customWidth="1" min="4" max="4"/>
    <col width="22" customWidth="1" min="5" max="5"/>
    <col width="22" customWidth="1" min="6" max="6"/>
    <col width="12" customWidth="1" min="7" max="7"/>
    <col width="12" customWidth="1" min="8" max="8"/>
    <col width="36" customWidth="1" min="9" max="9"/>
  </cols>
  <sheetData>
    <row r="1" ht="40" customHeight="1">
      <c r="A1" s="1" t="inlineStr">
        <is>
          <t>These are NOT enforced by the pre-run completeness gate, but the corresponding level will FAIL / score 0 / be BLOCKED if missing. Upload before running L5 / L5.5.</t>
        </is>
      </c>
    </row>
    <row r="2" ht="32" customHeight="1">
      <c r="A2" s="2" t="inlineStr">
        <is>
          <t>#</t>
        </is>
      </c>
      <c r="B2" s="2" t="inlineStr">
        <is>
          <t>Document Name</t>
        </is>
      </c>
      <c r="C2" s="2" t="inlineStr">
        <is>
          <t>Software Code (Artifact Subtype)</t>
        </is>
      </c>
      <c r="D2" s="2" t="inlineStr">
        <is>
          <t>Format</t>
        </is>
      </c>
      <c r="E2" s="2" t="inlineStr">
        <is>
          <t>Provided By</t>
        </is>
      </c>
      <c r="F2" s="2" t="inlineStr">
        <is>
          <t>Used By Level(s)</t>
        </is>
      </c>
      <c r="G2" s="2" t="inlineStr">
        <is>
          <t>Available</t>
        </is>
      </c>
      <c r="H2" s="2" t="inlineStr">
        <is>
          <t>Uploaded</t>
        </is>
      </c>
      <c r="I2" s="2" t="inlineStr">
        <is>
          <t>Remarks</t>
        </is>
      </c>
    </row>
    <row r="3" ht="24" customHeight="1">
      <c r="A3" s="3" t="n">
        <v>1</v>
      </c>
      <c r="B3" s="4" t="inlineStr">
        <is>
          <t>Dedupe report (Customer_Dedupe export from Finpage)</t>
        </is>
      </c>
      <c r="C3" s="5" t="inlineStr">
        <is>
          <t>DEDUPE_REPORT</t>
        </is>
      </c>
      <c r="D3" s="3" t="inlineStr">
        <is>
          <t>XLSX</t>
        </is>
      </c>
      <c r="E3" s="3" t="inlineStr">
        <is>
          <t>Credit Ops</t>
        </is>
      </c>
      <c r="F3" s="3" t="inlineStr">
        <is>
          <t>L5.5</t>
        </is>
      </c>
      <c r="G3" s="3" t="inlineStr"/>
      <c r="H3" s="3" t="inlineStr"/>
      <c r="I3" s="4" t="inlineStr">
        <is>
          <t>Row count must be 0; sourced from Finpage Customer_Dedupe</t>
        </is>
      </c>
    </row>
    <row r="4" ht="24" customHeight="1">
      <c r="A4" s="3" t="n">
        <v>2</v>
      </c>
      <c r="B4" s="4" t="inlineStr">
        <is>
          <t>TVR audio (Credit-HO verification call)</t>
        </is>
      </c>
      <c r="C4" s="5" t="inlineStr">
        <is>
          <t>TVR_AUDIO</t>
        </is>
      </c>
      <c r="D4" s="3" t="inlineStr">
        <is>
          <t>MP3 / WAV / M4A</t>
        </is>
      </c>
      <c r="E4" s="3" t="inlineStr">
        <is>
          <t>Credit HO</t>
        </is>
      </c>
      <c r="F4" s="3" t="inlineStr">
        <is>
          <t>L5.5, L5 #31</t>
        </is>
      </c>
      <c r="G4" s="3" t="inlineStr"/>
      <c r="H4" s="3" t="inlineStr"/>
      <c r="I4" s="4" t="inlineStr">
        <is>
          <t>Mandatory for L5.5 tvr_present check</t>
        </is>
      </c>
    </row>
    <row r="5" ht="24" customHeight="1">
      <c r="A5" s="3" t="n">
        <v>3</v>
      </c>
      <c r="B5" s="4" t="inlineStr">
        <is>
          <t>Fraud-call audio (independent — separate file)</t>
        </is>
      </c>
      <c r="C5" s="5" t="inlineStr">
        <is>
          <t>FRAUD_CALL_AUDIO</t>
        </is>
      </c>
      <c r="D5" s="3" t="inlineStr">
        <is>
          <t>MP3 / WAV / M4A</t>
        </is>
      </c>
      <c r="E5" s="3" t="inlineStr">
        <is>
          <t>Credit HO</t>
        </is>
      </c>
      <c r="F5" s="3" t="inlineStr">
        <is>
          <t>L5 #32</t>
        </is>
      </c>
      <c r="G5" s="3" t="inlineStr"/>
      <c r="H5" s="3" t="inlineStr"/>
      <c r="I5" s="4" t="inlineStr">
        <is>
          <t>MUST be a different file from TVR_AUDIO</t>
        </is>
      </c>
    </row>
    <row r="6" ht="24" customHeight="1">
      <c r="A6" s="3" t="n">
        <v>4</v>
      </c>
      <c r="B6" s="4" t="inlineStr">
        <is>
          <t>PDC cheque image</t>
        </is>
      </c>
      <c r="C6" s="5" t="inlineStr">
        <is>
          <t>PDC_CHEQUE</t>
        </is>
      </c>
      <c r="D6" s="3" t="inlineStr">
        <is>
          <t>JPG / PNG / PDF</t>
        </is>
      </c>
      <c r="E6" s="3" t="inlineStr">
        <is>
          <t>Applicant</t>
        </is>
      </c>
      <c r="F6" s="3" t="inlineStr">
        <is>
          <t>L5.5</t>
        </is>
      </c>
      <c r="G6" s="3" t="inlineStr"/>
      <c r="H6" s="3" t="inlineStr"/>
      <c r="I6" s="4" t="inlineStr">
        <is>
          <t>Vision-read for bank/IFSC/a-c → must match BANK_STATEMENT</t>
        </is>
      </c>
    </row>
    <row r="7" ht="24" customHeight="1">
      <c r="A7" s="3" t="n">
        <v>5</v>
      </c>
      <c r="B7" s="4" t="inlineStr">
        <is>
          <t>LMS references screenshot</t>
        </is>
      </c>
      <c r="C7" s="5" t="inlineStr">
        <is>
          <t>REFERENCES_SCREENSHOT</t>
        </is>
      </c>
      <c r="D7" s="3" t="inlineStr">
        <is>
          <t>PNG / JPG</t>
        </is>
      </c>
      <c r="E7" s="3" t="inlineStr">
        <is>
          <t>BCM</t>
        </is>
      </c>
      <c r="F7" s="3" t="inlineStr">
        <is>
          <t>L5 #30</t>
        </is>
      </c>
      <c r="G7" s="3" t="inlineStr"/>
      <c r="H7" s="3" t="inlineStr"/>
      <c r="I7" s="4" t="inlineStr">
        <is>
          <t>BCM cross-verification (LMS PD page)</t>
        </is>
      </c>
    </row>
    <row r="8" ht="24" customHeight="1">
      <c r="A8" s="3" t="n">
        <v>6</v>
      </c>
      <c r="B8" s="4" t="inlineStr">
        <is>
          <t>Income proof (salary slip / ITR / business income)</t>
        </is>
      </c>
      <c r="C8" s="5" t="inlineStr">
        <is>
          <t>INCOME_PROOF</t>
        </is>
      </c>
      <c r="D8" s="3" t="inlineStr">
        <is>
          <t>PDF / Image</t>
        </is>
      </c>
      <c r="E8" s="3" t="inlineStr">
        <is>
          <t>Applicant</t>
        </is>
      </c>
      <c r="F8" s="3" t="inlineStr">
        <is>
          <t>L5 #16–17</t>
        </is>
      </c>
      <c r="G8" s="3" t="inlineStr"/>
      <c r="H8" s="3" t="inlineStr"/>
      <c r="I8" s="4" t="inlineStr">
        <is>
          <t>Income score evidence</t>
        </is>
      </c>
    </row>
    <row r="9" ht="24" customHeight="1">
      <c r="A9" s="3" t="n">
        <v>7</v>
      </c>
      <c r="B9" s="4" t="inlineStr">
        <is>
          <t>Udyam / business registration</t>
        </is>
      </c>
      <c r="C9" s="5" t="inlineStr">
        <is>
          <t>UDYAM_REG</t>
        </is>
      </c>
      <c r="D9" s="3" t="inlineStr">
        <is>
          <t>PDF</t>
        </is>
      </c>
      <c r="E9" s="3" t="inlineStr">
        <is>
          <t>Applicant</t>
        </is>
      </c>
      <c r="F9" s="3" t="inlineStr">
        <is>
          <t>L5 #28</t>
        </is>
      </c>
      <c r="G9" s="3" t="inlineStr"/>
      <c r="H9" s="3" t="inlineStr"/>
      <c r="I9" s="4" t="inlineStr">
        <is>
          <t>Business legitimacy (or GST cert / shop licence)</t>
        </is>
      </c>
    </row>
    <row r="10" ht="24" customHeight="1">
      <c r="A10" s="3" t="n">
        <v>8</v>
      </c>
      <c r="B10" s="4" t="inlineStr">
        <is>
          <t>KYC video (optional video-KYC)</t>
        </is>
      </c>
      <c r="C10" s="5" t="inlineStr">
        <is>
          <t>KYC_VIDEO</t>
        </is>
      </c>
      <c r="D10" s="3" t="inlineStr">
        <is>
          <t>MP4</t>
        </is>
      </c>
      <c r="E10" s="3" t="inlineStr">
        <is>
          <t>Applicant</t>
        </is>
      </c>
      <c r="F10" s="3" t="inlineStr">
        <is>
          <t>Optional</t>
        </is>
      </c>
      <c r="G10" s="3" t="inlineStr"/>
      <c r="H10" s="3" t="inlineStr"/>
      <c r="I10" s="4" t="inlineStr">
        <is>
          <t>Adds confidence; not gated</t>
        </is>
      </c>
    </row>
    <row r="11" ht="24" customHeight="1">
      <c r="A11" s="3" t="n">
        <v>9</v>
      </c>
      <c r="B11" s="4" t="inlineStr">
        <is>
          <t>Document checklist xlsx (auto-extract validation)</t>
        </is>
      </c>
      <c r="C11" s="5" t="inlineStr">
        <is>
          <t>CHECKLIST</t>
        </is>
      </c>
      <c r="D11" s="3" t="inlineStr">
        <is>
          <t>XLSX</t>
        </is>
      </c>
      <c r="E11" s="3" t="inlineStr">
        <is>
          <t>Credit Ops</t>
        </is>
      </c>
      <c r="F11" s="3" t="inlineStr">
        <is>
          <t>Ingestion</t>
        </is>
      </c>
      <c r="G11" s="3" t="inlineStr"/>
      <c r="H11" s="3" t="inlineStr"/>
      <c r="I11" s="4" t="inlineStr">
        <is>
          <t>Validated at upload time, not at auto-run</t>
        </is>
      </c>
    </row>
    <row r="13">
      <c r="B13" s="11" t="inlineStr">
        <is>
          <t>TOTALS — ticked vs total rows</t>
        </is>
      </c>
      <c r="G13" s="12">
        <f>COUNTIF(G3:G11,"✓")&amp;" / "&amp;(11-3+1)</f>
        <v/>
      </c>
      <c r="H13" s="12">
        <f>COUNTIF(H3:H11,"✓")&amp;" / "&amp;(11-3+1)</f>
        <v/>
      </c>
    </row>
  </sheetData>
  <mergeCells count="1">
    <mergeCell ref="A1:I1"/>
  </mergeCells>
  <dataValidations count="1">
    <dataValidation sqref="G3 G4 G5 G6 G7 G8 G9 G10 G11 H3 H4 H5 H6 H7 H8 H9 H10 H11" showDropDown="0" showInputMessage="0" showErrorMessage="0" allowBlank="1" errorTitle="Invalid entry" error="Tick or leave blank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2026-04-27T13:28:27Z</dcterms:created>
  <dcterms:modified xmlns:dcterms="http://purl.org/dc/terms/" xmlns:xsi="http://www.w3.org/2001/XMLSchema-instance" xsi:type="dcterms:W3CDTF">2026-04-27T13:28:27Z</dcterms:modified>
</cp:coreProperties>
</file>